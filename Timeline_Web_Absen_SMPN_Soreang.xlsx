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line" sheetId="1" state="visible" r:id="rId3"/>
    <sheet name="Ringkasan" sheetId="2" state="visible" r:id="rId4"/>
    <sheet name="Keputusan PM" sheetId="3" state="visible" r:id="rId5"/>
    <sheet name="Panduan Branch" sheetId="4" state="visible" r:id="rId6"/>
  </sheets>
  <definedNames>
    <definedName function="false" hidden="true" localSheetId="0" name="_xlnm._FilterDatabase" vbProcedure="false">Timeline!$A$6:$N$22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<sst xmlns="http://schemas.openxmlformats.org/spreadsheetml/2006/main" count="253" uniqueCount="185">
  <si>
    <t xml:space="preserve">Timeline Pengerjaan - Web Absen SMPN 2 Soreang</t>
  </si>
  <si>
    <t xml:space="preserve">Tanggal mulai Minggu 1 (Kamis)</t>
  </si>
  <si>
    <t xml:space="preserve">&lt;- ubah tanggal ini, semua Mulai &amp; Deadline ikut berubah. Deadline tiap minggu = 7 hari setelah Mulai.</t>
  </si>
  <si>
    <t xml:space="preserve">Cara pakai: kerjakan sesuai urutan No. Dalam satu minggu keempat task saling independen (boleh paralel); task minggu berikutnya baru dimulai setelah Prasyarat selesai &amp; ter-merge ke main. Isi Status &amp; Link PR sendiri-sendiri.</t>
  </si>
  <si>
    <t xml:space="preserve">No</t>
  </si>
  <si>
    <t xml:space="preserve">Minggu</t>
  </si>
  <si>
    <t xml:space="preserve">Mulai</t>
  </si>
  <si>
    <t xml:space="preserve">Deadline</t>
  </si>
  <si>
    <t xml:space="preserve">PIC</t>
  </si>
  <si>
    <t xml:space="preserve">Fitur / Modul</t>
  </si>
  <si>
    <t xml:space="preserve">UI/UX (Frontend)</t>
  </si>
  <si>
    <t xml:space="preserve">Fungsi &amp; Database (Backend)</t>
  </si>
  <si>
    <t xml:space="preserve">Prasyarat</t>
  </si>
  <si>
    <t xml:space="preserve">Nama Branch</t>
  </si>
  <si>
    <t xml:space="preserve">Status</t>
  </si>
  <si>
    <t xml:space="preserve">Flag</t>
  </si>
  <si>
    <t xml:space="preserve">Link PR</t>
  </si>
  <si>
    <t xml:space="preserve">Catatan</t>
  </si>
  <si>
    <t xml:space="preserve">T01</t>
  </si>
  <si>
    <t xml:space="preserve">Fawwaz</t>
  </si>
  <si>
    <t xml:space="preserve">Master Kelas &amp; Tahun Ajaran</t>
  </si>
  <si>
    <t xml:space="preserve">Halaman admin: daftar, tambah, ubah kelas; pilih tahun ajaran aktif; pilih wali kelas.</t>
  </si>
  <si>
    <t xml:space="preserve">CRUD tahun_ajaran &amp; kelas; hanya 1 tahun ajaran aktif; kelas terikat tahun ajaran; wali_kelas_id ke users (guru).</t>
  </si>
  <si>
    <t xml:space="preserve">-</t>
  </si>
  <si>
    <t xml:space="preserve">feat/master-kelas</t>
  </si>
  <si>
    <t xml:space="preserve">Belum</t>
  </si>
  <si>
    <t xml:space="preserve">Tabel tahun_ajaran ada di ERD tapi belum disebut di PRD - tambahkan ke PRD.</t>
  </si>
  <si>
    <t xml:space="preserve">T02</t>
  </si>
  <si>
    <t xml:space="preserve">Dyo</t>
  </si>
  <si>
    <t xml:space="preserve">Master Mapel &amp; Jam Pelajaran</t>
  </si>
  <si>
    <t xml:space="preserve">Halaman admin: daftar, tambah, ubah mapel; atur slot jam pelajaran (jam ke-, mulai, selesai).</t>
  </si>
  <si>
    <t xml:space="preserve">CRUD mapel (kode unik) &amp; jam_pelajaran (jam_ke, mulai, selesai, kelompok_hari senin-kamis / jumat); validasi jam tidak tumpang tindih.</t>
  </si>
  <si>
    <t xml:space="preserve">feat/master-mapel-jam</t>
  </si>
  <si>
    <t xml:space="preserve">T03</t>
  </si>
  <si>
    <t xml:space="preserve">Keanu</t>
  </si>
  <si>
    <t xml:space="preserve">Landing Page &amp; CMS Pengumuman</t>
  </si>
  <si>
    <t xml:space="preserve">Landing page publik (daftar + detail pengumuman); halaman admin input judul, deskripsi, gambar.</t>
  </si>
  <si>
    <t xml:space="preserve">CRUD pengumuman; upload gambar (validasi tipe &amp; ukuran, simpan di storage); status draf/terbit; slug unik.</t>
  </si>
  <si>
    <t xml:space="preserve">feat/landing-pengumuman</t>
  </si>
  <si>
    <t xml:space="preserve">Landing page dibuat enak dilihat karena jadi wajah sekolah.</t>
  </si>
  <si>
    <t xml:space="preserve">T04</t>
  </si>
  <si>
    <t xml:space="preserve">Fahmi</t>
  </si>
  <si>
    <t xml:space="preserve">Manajemen Akun Lengkap &amp; Kerangka Dashboard 4 Role</t>
  </si>
  <si>
    <t xml:space="preserve">Form buat/ubah akun (guru, guru_piket, kepsek); layout + sidebar tiap role (admin, guru, guru_piket, kepsek); redirect setelah login sesuai role.</t>
  </si>
  <si>
    <t xml:space="preserve">Validasi: no_wa wajib untuk guru_piket, jenis_pegawai wajib untuk guru; wajib_ganti_password saat dibuat; hapus akun = aktif=false; admin tidak bisa membuat admin baru; middleware role.</t>
  </si>
  <si>
    <t xml:space="preserve">feat/akun-dashboard-role</t>
  </si>
  <si>
    <t xml:space="preserve">Sidebar dibuat dari 1 file config supaya tiap fitur cukup tambah 1 baris menu (hindari konflik merge). Lupa password belum dikerjakan sampai keputusan #4.</t>
  </si>
  <si>
    <t xml:space="preserve">T05</t>
  </si>
  <si>
    <t xml:space="preserve">Jadwal Mengajar (Berversi) &amp; Generate Sesi</t>
  </si>
  <si>
    <t xml:space="preserve">Admin: buat versi jadwal (draf), grid slot per hari/jam/kelas, pilih mapel + guru, tombol terbitkan dengan tanggal berlaku.</t>
  </si>
  <si>
    <t xml:space="preserve">jadwal_versi + jadwal_slot (unik versi, hari, jam, kelas); salin dari versi aktif; terbitkan = versi lama diarsip; generate sesi harian dari slot aktif.</t>
  </si>
  <si>
    <t xml:space="preserve">T01, T02, T04</t>
  </si>
  <si>
    <t xml:space="preserve">feat/jadwal-mengajar</t>
  </si>
  <si>
    <t xml:space="preserve">HARI_LIBUR belum ada di PRD - sesi saat ini dibuat untuk hari kerja biasa.</t>
  </si>
  <si>
    <t xml:space="preserve">T06</t>
  </si>
  <si>
    <t xml:space="preserve">Master Siswa</t>
  </si>
  <si>
    <t xml:space="preserve">Admin: daftar siswa dengan filter kelas, tambah/ubah siswa, nonaktifkan.</t>
  </si>
  <si>
    <t xml:space="preserve">CRUD siswa (NIS unik, kelas_id, no_hp_ortu, aktif); validasi format nomor HP ortu.</t>
  </si>
  <si>
    <t xml:space="preserve">feat/master-siswa</t>
  </si>
  <si>
    <t xml:space="preserve">Data guru = akun guru dari T04, tidak perlu halaman terpisah.</t>
  </si>
  <si>
    <t xml:space="preserve">T07</t>
  </si>
  <si>
    <t xml:space="preserve">Jadwal Guru Piket</t>
  </si>
  <si>
    <t xml:space="preserve">Admin: atur penugasan piket per hari (Senin-Sabtu) dan jumlah orang per hari.</t>
  </si>
  <si>
    <t xml:space="preserve">guru_piket unik (user_id, hari, tahun_ajaran_id); hanya user role guru_piket yang bisa ditugaskan.</t>
  </si>
  <si>
    <t xml:space="preserve">T01, T04</t>
  </si>
  <si>
    <t xml:space="preserve">feat/jadwal-piket</t>
  </si>
  <si>
    <t xml:space="preserve">T08</t>
  </si>
  <si>
    <t xml:space="preserve">Absen Harian Pegawai (Live Camera)</t>
  </si>
  <si>
    <t xml:space="preserve">Halaman absen: buka kamera, ambil selfie, kirim. Tidak ada input file / galeri.</t>
  </si>
  <si>
    <t xml:space="preserve">Endpoint hanya menerima hasil capture kamera; simpan foto_path, waktu_ambil, ip, user_agent, sumber='live'; unik (user_id, tanggal); berlaku untuk guru, tenaga kependidikan, guru_piket (admin &amp; kepsek dikecualikan).</t>
  </si>
  <si>
    <t xml:space="preserve">feat/absen-harian</t>
  </si>
  <si>
    <t xml:space="preserve">PUTUSKAN dulu aturan jam masuk/terlambat (Keputusan PM #2) sebelum mulai.</t>
  </si>
  <si>
    <t xml:space="preserve">T09</t>
  </si>
  <si>
    <t xml:space="preserve">Dashboard Kepsek - Monitoring Guru (Read-only)</t>
  </si>
  <si>
    <t xml:space="preserve">Dashboard kepsek: daftar absen harian guru hari ini, status semua sesi/kelas hari ini.</t>
  </si>
  <si>
    <t xml:space="preserve">Query read-only dari absen_harian &amp; sesi; tidak ada endpoint tulis untuk role kepsek.</t>
  </si>
  <si>
    <t xml:space="preserve">T04, T05, T08</t>
  </si>
  <si>
    <t xml:space="preserve">feat/monitoring-kepsek</t>
  </si>
  <si>
    <t xml:space="preserve">Batas monitoring admin vs kepsek = Keputusan PM #1, putuskan sebelum mulai.</t>
  </si>
  <si>
    <t xml:space="preserve">T10</t>
  </si>
  <si>
    <t xml:space="preserve">Absen Siswa per Sesi (H/S/I/A) + Token Konfirmasi</t>
  </si>
  <si>
    <t xml:space="preserve">Guru: daftar sesi hari ini -&gt; form absen per siswa (H/S/I/A) + catatan.</t>
  </si>
  <si>
    <t xml:space="preserve">absen_siswa unik (sesi_id, siswa_id); hanya guru terjadwal / pengganti yang boleh; saat S/I buat konfirmasi_token + token_berlaku_sampai (1 minggu) + status_konfirmasi='menunggu'. Pengiriman WA ada di T14.</t>
  </si>
  <si>
    <t xml:space="preserve">T05, T06</t>
  </si>
  <si>
    <t xml:space="preserve">feat/absen-siswa</t>
  </si>
  <si>
    <t xml:space="preserve">Aturan token (per sesi atau per murid harian) = Keputusan PM #3, putuskan sebelum mulai.</t>
  </si>
  <si>
    <t xml:space="preserve">T11</t>
  </si>
  <si>
    <t xml:space="preserve">Halaman Guru: Lihat Jadwal &amp; Kontak Guru Piket</t>
  </si>
  <si>
    <t xml:space="preserve">Jadwal harian &amp; mingguan (mapel, kelas, jam ke-); daftar guru piket hari ini dengan tombol 'Hubungi'.</t>
  </si>
  <si>
    <t xml:space="preserve">Query jadwal guru login dari versi aktif; piket hari ini dari guru_piket; tombol membuka https://wa.me/&lt;no_wa&gt;.</t>
  </si>
  <si>
    <t xml:space="preserve">T05, T07</t>
  </si>
  <si>
    <t xml:space="preserve">feat/jadwal-guru-kontak-piket</t>
  </si>
  <si>
    <t xml:space="preserve">T12</t>
  </si>
  <si>
    <t xml:space="preserve">Kode Pengganti &amp; Dashboard Guru Piket</t>
  </si>
  <si>
    <t xml:space="preserve">Guru: tombol generate kode di sesinya + status 'sudah digantikan' (polling). Piket: semua kelas tampil terkunci, input kode -&gt; sesi terbuka.</t>
  </si>
  <si>
    <t xml:space="preserve">kode_pengganti 6 digit numerik; hanya guru pemilik sesi; berlaku sampai jam sesi selesai; sekali pakai; hanya untuk sesi itu; batasi percobaan input; isi sesi.guru_pengganti_id.</t>
  </si>
  <si>
    <t xml:space="preserve">feat/kode-pengganti-piket</t>
  </si>
  <si>
    <t xml:space="preserve">Form absen siswa oleh piket disambungkan di T16.</t>
  </si>
  <si>
    <t xml:space="preserve">T13</t>
  </si>
  <si>
    <t xml:space="preserve">Konfirmasi Orang Tua (Link Token Publik)</t>
  </si>
  <si>
    <t xml:space="preserve">Halaman publik tanpa login /konfirmasi/{token}: orang tua upload bukti sakit/izin.</t>
  </si>
  <si>
    <t xml:space="preserve">Validasi token: berlaku 1 minggu, sekali pakai; setelah kadaluarsa link mati tapi status absen tetap; update status_konfirmasi &amp; bukti_path; rate limit route publik.</t>
  </si>
  <si>
    <t xml:space="preserve">feat/konfirmasi-ortu</t>
  </si>
  <si>
    <t xml:space="preserve">Format URL /konfirmasi/{token} dipakai juga oleh pesan WA di T14.</t>
  </si>
  <si>
    <t xml:space="preserve">T14</t>
  </si>
  <si>
    <t xml:space="preserve">Notifikasi WhatsApp (fonnte)</t>
  </si>
  <si>
    <t xml:space="preserve">Tidak ada halaman baru (log tersimpan di database).</t>
  </si>
  <si>
    <t xml:space="preserve">Interface provider (fonnte); antrean + delay acak + rate limit; blast real-time saat A/S/I ditandai; dedupe 1x per murid per hari; S/I memuat link konfirmasi; catat semua ke notifikasi_wa.</t>
  </si>
  <si>
    <t xml:space="preserve">feat/notifikasi-wa</t>
  </si>
  <si>
    <t xml:space="preserve">Token fonnte di .env, jangan di-commit. Paket gratis 1.000 pesan/bulan - hemat kuota saat testing.</t>
  </si>
  <si>
    <t xml:space="preserve">T15</t>
  </si>
  <si>
    <t xml:space="preserve">Rekap Absensi Siswa per Kelas (Admin &amp; Kepsek)</t>
  </si>
  <si>
    <t xml:space="preserve">Tabel rekap per kelas &amp; rentang tanggal (jumlah H/S/I/A per siswa) dengan filter.</t>
  </si>
  <si>
    <t xml:space="preserve">Query agregat absen_siswa; admin dan kepsek hanya baca; tampilkan juga di dashboard kepsek.</t>
  </si>
  <si>
    <t xml:space="preserve">T09, T10</t>
  </si>
  <si>
    <t xml:space="preserve">feat/rekap-absensi-siswa</t>
  </si>
  <si>
    <t xml:space="preserve">Batas tampilan admin vs kepsek mengikuti Keputusan PM #1.</t>
  </si>
  <si>
    <t xml:space="preserve">T16</t>
  </si>
  <si>
    <t xml:space="preserve">Integrasi, QA &amp; Seeder Demo</t>
  </si>
  <si>
    <t xml:space="preserve">Sambungkan sesi terbuka (T12) ke form absen siswa (T10) sebagai guru pengganti; cek tampilan semua role di HP &amp; laptop.</t>
  </si>
  <si>
    <t xml:space="preserve">Tes alur end-to-end semua role; seeder data demo; perbaikan bug lintas modul; update bagian Progress di AGENTS.md.</t>
  </si>
  <si>
    <t xml:space="preserve">T10, T12</t>
  </si>
  <si>
    <t xml:space="preserve">chore/integrasi-qa</t>
  </si>
  <si>
    <t xml:space="preserve">Bug dari tes pakai branch fix/&lt;modul&gt;-&lt;masalah&gt;. Jangan sentuh Jenkinsfile.</t>
  </si>
  <si>
    <t xml:space="preserve">Ringkasan Progres</t>
  </si>
  <si>
    <t xml:space="preserve">Total Task</t>
  </si>
  <si>
    <t xml:space="preserve">Selesai</t>
  </si>
  <si>
    <t xml:space="preserve">Review</t>
  </si>
  <si>
    <t xml:space="preserve">Proses</t>
  </si>
  <si>
    <t xml:space="preserve">% Selesai</t>
  </si>
  <si>
    <t xml:space="preserve">Terlambat</t>
  </si>
  <si>
    <t xml:space="preserve">Total</t>
  </si>
  <si>
    <t xml:space="preserve">Angka di sini otomatis dari kolom Status &amp; Flag di sheet Timeline.</t>
  </si>
  <si>
    <t xml:space="preserve">Keputusan yang Harus Diambil PM Sebelum Task Dikerjakan</t>
  </si>
  <si>
    <t xml:space="preserve">Hal yang belum diputuskan</t>
  </si>
  <si>
    <t xml:space="preserve">Menghambat task</t>
  </si>
  <si>
    <t xml:space="preserve">Putuskan sebelum</t>
  </si>
  <si>
    <t xml:space="preserve">Usulan (dari PRD / review)</t>
  </si>
  <si>
    <t xml:space="preserve">Keputusan PM (isi di sini)</t>
  </si>
  <si>
    <t xml:space="preserve">Aturan jam absen harian (tepat waktu / terlambat, jam pulang) - PRD Bagian 10 poin 2</t>
  </si>
  <si>
    <t xml:space="preserve">Awal Minggu 2</t>
  </si>
  <si>
    <t xml:space="preserve">Satu absen masuk per hari; admin atur jam masuk + toleransi (mis. 07:00 + 15 menit). Jam pulang belum ada di v1.</t>
  </si>
  <si>
    <t xml:space="preserve">Batasan monitoring admin vs kepsek - PRD Bagian 10 poin 1</t>
  </si>
  <si>
    <t xml:space="preserve">T09, T15</t>
  </si>
  <si>
    <t xml:space="preserve">Awal Minggu 3</t>
  </si>
  <si>
    <t xml:space="preserve">Kepsek = monitoring menyeluruh; admin = operasional saja (data master, jadwal, rekap siswa per kelas, daftar absen hari ini).</t>
  </si>
  <si>
    <t xml:space="preserve">Token konfirmasi: per sesi atau per murid per hari - PRD Bagian 10 poin 3</t>
  </si>
  <si>
    <t xml:space="preserve">T10, T13, T14</t>
  </si>
  <si>
    <t xml:space="preserve">1 token per (murid, tanggal), dipakai ulang bila murid S/I lagi hari itu. ERD saat ini menaruh token di absen_siswa (per sesi) - perlu disamakan.</t>
  </si>
  <si>
    <t xml:space="preserve">Reset password akun tanpa email - PRD Bagian 10 poin 4</t>
  </si>
  <si>
    <t xml:space="preserve">Awal Minggu 1</t>
  </si>
  <si>
    <t xml:space="preserve">Putuskan: email wajib diisi, atau admin reset manual. Fitur lupa password belum dijadwalkan.</t>
  </si>
  <si>
    <t xml:space="preserve">Username &amp; email unik vs 1 orang boleh punya 2 akun (guru + admin)</t>
  </si>
  <si>
    <t xml:space="preserve">Akun admin pakai username non-NIP (mis. admin.nama) dan email dikosongkan / berbeda.</t>
  </si>
  <si>
    <t xml:space="preserve">Paket fonnte untuk produksi - PRD Bagian 10 poin 5</t>
  </si>
  <si>
    <t xml:space="preserve">Sebelum go-live</t>
  </si>
  <si>
    <t xml:space="preserve">Cek di dashboard fonnte; development memakai paket gratis 1.000 pesan/bulan.</t>
  </si>
  <si>
    <t xml:space="preserve">ABSEN_GURU di ERD (selfie per sesi + diverifikasi_oleh) - belum ada di PRD</t>
  </si>
  <si>
    <t xml:space="preserve">Belum dijadwalkan</t>
  </si>
  <si>
    <t xml:space="preserve">Sebelum Minggu 3</t>
  </si>
  <si>
    <t xml:space="preserve">Putuskan apakah guru harus selfie tiap sesi atau cukup absen harian; siapa yang memverifikasi.</t>
  </si>
  <si>
    <t xml:space="preserve">Tabel HARI_LIBUR dan AUDIT_LOG di ERD - belum ada di PRD</t>
  </si>
  <si>
    <t xml:space="preserve">Sebelum Minggu 2</t>
  </si>
  <si>
    <t xml:space="preserve">Tambahkan ke PRD bila dipakai, atau abaikan di v1.</t>
  </si>
  <si>
    <t xml:space="preserve">Panduan Branch &amp; Git Tim</t>
  </si>
  <si>
    <t xml:space="preserve">Topik</t>
  </si>
  <si>
    <t xml:space="preserve">Aturan</t>
  </si>
  <si>
    <t xml:space="preserve">Format branch</t>
  </si>
  <si>
    <t xml:space="preserve">feat/&lt;modul&gt; untuk fitur, fix/&lt;modul&gt;-&lt;masalah&gt; untuk perbaikan bug, chore/&lt;hal&gt; untuk non-fitur. Huruf kecil, pakai tanda hubung. Nama branch tiap task ada di kolom Nama Branch sheet Timeline.</t>
  </si>
  <si>
    <t xml:space="preserve">1 task = 1 branch</t>
  </si>
  <si>
    <t xml:space="preserve">Satu orang memegang satu modul penuh (UI/UX + fungsi + database). Jangan campur dua modul dalam satu branch.</t>
  </si>
  <si>
    <t xml:space="preserve">Mulai kerja</t>
  </si>
  <si>
    <t xml:space="preserve">git checkout main -&gt; git pull -&gt; git checkout -b feat/&lt;modul&gt;. Pastikan semua Prasyarat di Timeline sudah ter-merge ke main sebelum mulai.</t>
  </si>
  <si>
    <t xml:space="preserve">Selama kerja</t>
  </si>
  <si>
    <t xml:space="preserve">Commit kecil dan sering: feat:, fix:, chore:. Rebase/merge main secara rutin supaya konflik tidak menumpuk.</t>
  </si>
  <si>
    <t xml:space="preserve">Push branch, buka Pull Request ke main, isi Link PR di Timeline, ubah Status jadi Review. PR wajib 1 review. Merge hanya setelah di-approve, lalu ubah Status jadi Selesai.</t>
  </si>
  <si>
    <t xml:space="preserve">Migrasi database</t>
  </si>
  <si>
    <t xml:space="preserve">Hanya lewat migrasi baru, jangan edit migrasi lama, jangan drop tanpa persetujuan PM. Alur: update mermaid.mmd -&gt; migrasi baru -&gt; migrate -&gt; sesuaikan kode -&gt; lapor PM. Pull main dulu sebelum membuat migrasi dan kabari tim bila ada perubahan skema.</t>
  </si>
  <si>
    <t xml:space="preserve">Titik rawan konflik</t>
  </si>
  <si>
    <t xml:space="preserve">routes/web.php, config sidebar, DatabaseSeeder. Tambah baris di bagian sendiri dan jangan merapikan/mengubah baris milik orang lain.</t>
  </si>
  <si>
    <t xml:space="preserve">Jenkins / CI</t>
  </si>
  <si>
    <t xml:space="preserve">Jangan ubah Jenkinsfile atau setup deployment. Jika perlu, tanya PM.</t>
  </si>
  <si>
    <t xml:space="preserve">Pakai AI</t>
  </si>
  <si>
    <t xml:space="preserve">Awali setiap sesi dengan: 'Baca AGENTS.md dan docs/PRD.md dulu. Kerjakan hanya task &lt;Txx - nama modul&gt;, jangan di luar itu.' Minta AI melaporkan apa yang dibuat/diubah, lalu catat.</t>
  </si>
  <si>
    <t xml:space="preserve">Cek sheet Keputusan PM. Jika task kamu terkait poin yang belum diputuskan, berhenti dan tanya PM, jangan menebak.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</si>
</sst>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\-yyyy"/>
    <numFmt numFmtId="166" formatCode="&quot;Minggu &quot;0"/>
    <numFmt numFmtId="167" formatCode="General"/>
    <numFmt numFmtId="168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Consolas"/>
      <family val="0"/>
      <charset val="1"/>
    </font>
    <font>
      <sz val="10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E8F0FE"/>
        <bgColor rgb="FFE6F4EA"/>
      </patternFill>
    </fill>
    <fill>
      <patternFill patternType="solid">
        <fgColor rgb="FFE6F4EA"/>
        <bgColor rgb="FFE8F0FE"/>
      </patternFill>
    </fill>
    <fill>
      <patternFill patternType="solid">
        <fgColor rgb="FFFEF7E0"/>
        <bgColor rgb="FFFCE8E6"/>
      </patternFill>
    </fill>
    <fill>
      <patternFill patternType="solid">
        <fgColor rgb="FFFCE8E6"/>
        <bgColor rgb="FFFEF7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6F4EA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fgColor rgb="FFFCE8E6"/>
          <bgColor rgb="FF000000"/>
        </patternFill>
      </fill>
    </dxf>
    <dxf>
      <fill>
        <patternFill patternType="solid">
          <fgColor rgb="FFFEF7E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name val="Arial"/>
        <charset val="1"/>
        <family val="0"/>
        <b val="1"/>
        <color rgb="FF137333"/>
      </font>
      <fill>
        <patternFill>
          <bgColor rgb="FFB7E1CD"/>
        </patternFill>
      </fill>
    </dxf>
    <dxf>
      <fill>
        <patternFill>
          <bgColor rgb="FFC9DAF8"/>
        </patternFill>
      </fill>
    </dxf>
    <dxf>
      <fill>
        <patternFill>
          <bgColor rgb="FFFFE599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37333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EF7E0"/>
      <rgbColor rgb="FFE6F4EA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B7E1CD"/>
      <rgbColor rgb="FFFCE8E6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6" ySplit="6" topLeftCell="G7" activePane="bottomRight" state="frozen"/>
      <selection pane="topLeft" activeCell="A1" activeCellId="0" sqref="A1"/>
      <selection pane="topRight" activeCell="G1" activeCellId="0" sqref="G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28"/>
    <col collapsed="false" customWidth="true" hidden="false" outlineLevel="0" max="7" min="7" style="0" width="42"/>
    <col collapsed="false" customWidth="true" hidden="false" outlineLevel="0" max="8" min="8" style="0" width="52"/>
    <col collapsed="false" customWidth="true" hidden="false" outlineLevel="0" max="9" min="9" style="0" width="12"/>
    <col collapsed="false" customWidth="true" hidden="false" outlineLevel="0" max="10" min="10" style="0" width="30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8"/>
    <col collapsed="false" customWidth="true" hidden="false" outlineLevel="0" max="14" min="14" style="0" width="48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E3" s="3" t="n">
        <v>46317</v>
      </c>
      <c r="F3" s="4" t="s">
        <v>2</v>
      </c>
    </row>
    <row r="4" customFormat="false" ht="15" hidden="false" customHeight="false" outlineLevel="0" collapsed="false">
      <c r="A4" s="4" t="s">
        <v>3</v>
      </c>
    </row>
    <row r="6" customFormat="false" ht="15" hidden="false" customHeight="fals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</row>
    <row r="7" customFormat="false" ht="23.85" hidden="false" customHeight="false" outlineLevel="0" collapsed="false">
      <c r="A7" s="6" t="s">
        <v>18</v>
      </c>
      <c r="B7" s="7" t="n">
        <v>1</v>
      </c>
      <c r="C7" s="8" t="n">
        <f aca="false">$E$3+7*(B7-1)</f>
        <v>46317</v>
      </c>
      <c r="D7" s="8" t="n">
        <f aca="false">$E$3+7*B7</f>
        <v>46324</v>
      </c>
      <c r="E7" s="9" t="s">
        <v>19</v>
      </c>
      <c r="F7" s="10" t="s">
        <v>20</v>
      </c>
      <c r="G7" s="11" t="s">
        <v>21</v>
      </c>
      <c r="H7" s="11" t="s">
        <v>22</v>
      </c>
      <c r="I7" s="6" t="s">
        <v>23</v>
      </c>
      <c r="J7" s="12" t="s">
        <v>24</v>
      </c>
      <c r="K7" s="13" t="s">
        <v>25</v>
      </c>
      <c r="L7" s="6" t="str">
        <f aca="true">IF(K7="Selesai","",IF(TODAY()&gt;D7,"TERLAMBAT",""))</f>
        <v/>
      </c>
      <c r="M7" s="11"/>
      <c r="N7" s="11" t="s">
        <v>26</v>
      </c>
    </row>
    <row r="8" customFormat="false" ht="35.05" hidden="false" customHeight="false" outlineLevel="0" collapsed="false">
      <c r="A8" s="6" t="s">
        <v>27</v>
      </c>
      <c r="B8" s="7" t="n">
        <v>1</v>
      </c>
      <c r="C8" s="8" t="n">
        <f aca="false">$E$3+7*(B8-1)</f>
        <v>46317</v>
      </c>
      <c r="D8" s="8" t="n">
        <f aca="false">$E$3+7*B8</f>
        <v>46324</v>
      </c>
      <c r="E8" s="9" t="s">
        <v>28</v>
      </c>
      <c r="F8" s="10" t="s">
        <v>29</v>
      </c>
      <c r="G8" s="11" t="s">
        <v>30</v>
      </c>
      <c r="H8" s="11" t="s">
        <v>31</v>
      </c>
      <c r="I8" s="6" t="s">
        <v>23</v>
      </c>
      <c r="J8" s="12" t="s">
        <v>32</v>
      </c>
      <c r="K8" s="13" t="s">
        <v>25</v>
      </c>
      <c r="L8" s="6" t="str">
        <f aca="true">IF(K8="Selesai","",IF(TODAY()&gt;D8,"TERLAMBAT",""))</f>
        <v/>
      </c>
      <c r="M8" s="11"/>
      <c r="N8" s="11"/>
    </row>
    <row r="9" customFormat="false" ht="23.85" hidden="false" customHeight="false" outlineLevel="0" collapsed="false">
      <c r="A9" s="6" t="s">
        <v>33</v>
      </c>
      <c r="B9" s="7" t="n">
        <v>1</v>
      </c>
      <c r="C9" s="8" t="n">
        <f aca="false">$E$3+7*(B9-1)</f>
        <v>46317</v>
      </c>
      <c r="D9" s="8" t="n">
        <f aca="false">$E$3+7*B9</f>
        <v>46324</v>
      </c>
      <c r="E9" s="9" t="s">
        <v>34</v>
      </c>
      <c r="F9" s="10" t="s">
        <v>35</v>
      </c>
      <c r="G9" s="11" t="s">
        <v>36</v>
      </c>
      <c r="H9" s="11" t="s">
        <v>37</v>
      </c>
      <c r="I9" s="6" t="s">
        <v>23</v>
      </c>
      <c r="J9" s="12" t="s">
        <v>38</v>
      </c>
      <c r="K9" s="13" t="s">
        <v>25</v>
      </c>
      <c r="L9" s="6" t="str">
        <f aca="true">IF(K9="Selesai","",IF(TODAY()&gt;D9,"TERLAMBAT",""))</f>
        <v/>
      </c>
      <c r="M9" s="11"/>
      <c r="N9" s="11" t="s">
        <v>39</v>
      </c>
    </row>
    <row r="10" customFormat="false" ht="46.25" hidden="false" customHeight="false" outlineLevel="0" collapsed="false">
      <c r="A10" s="6" t="s">
        <v>40</v>
      </c>
      <c r="B10" s="7" t="n">
        <v>1</v>
      </c>
      <c r="C10" s="8" t="n">
        <f aca="false">$E$3+7*(B10-1)</f>
        <v>46317</v>
      </c>
      <c r="D10" s="8" t="n">
        <f aca="false">$E$3+7*B10</f>
        <v>46324</v>
      </c>
      <c r="E10" s="9" t="s">
        <v>41</v>
      </c>
      <c r="F10" s="10" t="s">
        <v>42</v>
      </c>
      <c r="G10" s="11" t="s">
        <v>43</v>
      </c>
      <c r="H10" s="11" t="s">
        <v>44</v>
      </c>
      <c r="I10" s="6" t="s">
        <v>23</v>
      </c>
      <c r="J10" s="12" t="s">
        <v>45</v>
      </c>
      <c r="K10" s="13" t="s">
        <v>25</v>
      </c>
      <c r="L10" s="6" t="str">
        <f aca="true">IF(K10="Selesai","",IF(TODAY()&gt;D10,"TERLAMBAT",""))</f>
        <v/>
      </c>
      <c r="M10" s="11"/>
      <c r="N10" s="11" t="s">
        <v>46</v>
      </c>
    </row>
    <row r="11" customFormat="false" ht="35.05" hidden="false" customHeight="false" outlineLevel="0" collapsed="false">
      <c r="A11" s="14" t="s">
        <v>47</v>
      </c>
      <c r="B11" s="15" t="n">
        <v>2</v>
      </c>
      <c r="C11" s="16" t="n">
        <f aca="false">$E$3+7*(B11-1)</f>
        <v>46324</v>
      </c>
      <c r="D11" s="16" t="n">
        <f aca="false">$E$3+7*B11</f>
        <v>46331</v>
      </c>
      <c r="E11" s="17" t="s">
        <v>19</v>
      </c>
      <c r="F11" s="18" t="s">
        <v>48</v>
      </c>
      <c r="G11" s="19" t="s">
        <v>49</v>
      </c>
      <c r="H11" s="19" t="s">
        <v>50</v>
      </c>
      <c r="I11" s="14" t="s">
        <v>51</v>
      </c>
      <c r="J11" s="20" t="s">
        <v>52</v>
      </c>
      <c r="K11" s="21" t="s">
        <v>25</v>
      </c>
      <c r="L11" s="14" t="str">
        <f aca="true">IF(K11="Selesai","",IF(TODAY()&gt;D11,"TERLAMBAT",""))</f>
        <v/>
      </c>
      <c r="M11" s="19"/>
      <c r="N11" s="19" t="s">
        <v>53</v>
      </c>
    </row>
    <row r="12" customFormat="false" ht="23.85" hidden="false" customHeight="false" outlineLevel="0" collapsed="false">
      <c r="A12" s="14" t="s">
        <v>54</v>
      </c>
      <c r="B12" s="15" t="n">
        <v>2</v>
      </c>
      <c r="C12" s="16" t="n">
        <f aca="false">$E$3+7*(B12-1)</f>
        <v>46324</v>
      </c>
      <c r="D12" s="16" t="n">
        <f aca="false">$E$3+7*B12</f>
        <v>46331</v>
      </c>
      <c r="E12" s="17" t="s">
        <v>28</v>
      </c>
      <c r="F12" s="18" t="s">
        <v>55</v>
      </c>
      <c r="G12" s="19" t="s">
        <v>56</v>
      </c>
      <c r="H12" s="19" t="s">
        <v>57</v>
      </c>
      <c r="I12" s="14" t="s">
        <v>18</v>
      </c>
      <c r="J12" s="20" t="s">
        <v>58</v>
      </c>
      <c r="K12" s="21" t="s">
        <v>25</v>
      </c>
      <c r="L12" s="14" t="str">
        <f aca="true">IF(K12="Selesai","",IF(TODAY()&gt;D12,"TERLAMBAT",""))</f>
        <v/>
      </c>
      <c r="M12" s="19"/>
      <c r="N12" s="19" t="s">
        <v>59</v>
      </c>
    </row>
    <row r="13" customFormat="false" ht="23.85" hidden="false" customHeight="false" outlineLevel="0" collapsed="false">
      <c r="A13" s="14" t="s">
        <v>60</v>
      </c>
      <c r="B13" s="15" t="n">
        <v>2</v>
      </c>
      <c r="C13" s="16" t="n">
        <f aca="false">$E$3+7*(B13-1)</f>
        <v>46324</v>
      </c>
      <c r="D13" s="16" t="n">
        <f aca="false">$E$3+7*B13</f>
        <v>46331</v>
      </c>
      <c r="E13" s="17" t="s">
        <v>34</v>
      </c>
      <c r="F13" s="18" t="s">
        <v>61</v>
      </c>
      <c r="G13" s="19" t="s">
        <v>62</v>
      </c>
      <c r="H13" s="19" t="s">
        <v>63</v>
      </c>
      <c r="I13" s="14" t="s">
        <v>64</v>
      </c>
      <c r="J13" s="20" t="s">
        <v>65</v>
      </c>
      <c r="K13" s="21" t="s">
        <v>25</v>
      </c>
      <c r="L13" s="14" t="str">
        <f aca="true">IF(K13="Selesai","",IF(TODAY()&gt;D13,"TERLAMBAT",""))</f>
        <v/>
      </c>
      <c r="M13" s="19"/>
      <c r="N13" s="19"/>
    </row>
    <row r="14" customFormat="false" ht="46.25" hidden="false" customHeight="false" outlineLevel="0" collapsed="false">
      <c r="A14" s="14" t="s">
        <v>66</v>
      </c>
      <c r="B14" s="15" t="n">
        <v>2</v>
      </c>
      <c r="C14" s="16" t="n">
        <f aca="false">$E$3+7*(B14-1)</f>
        <v>46324</v>
      </c>
      <c r="D14" s="16" t="n">
        <f aca="false">$E$3+7*B14</f>
        <v>46331</v>
      </c>
      <c r="E14" s="17" t="s">
        <v>41</v>
      </c>
      <c r="F14" s="18" t="s">
        <v>67</v>
      </c>
      <c r="G14" s="19" t="s">
        <v>68</v>
      </c>
      <c r="H14" s="19" t="s">
        <v>69</v>
      </c>
      <c r="I14" s="14" t="s">
        <v>40</v>
      </c>
      <c r="J14" s="20" t="s">
        <v>70</v>
      </c>
      <c r="K14" s="21" t="s">
        <v>25</v>
      </c>
      <c r="L14" s="14" t="str">
        <f aca="true">IF(K14="Selesai","",IF(TODAY()&gt;D14,"TERLAMBAT",""))</f>
        <v/>
      </c>
      <c r="M14" s="19"/>
      <c r="N14" s="19" t="s">
        <v>71</v>
      </c>
    </row>
    <row r="15" customFormat="false" ht="23.85" hidden="false" customHeight="false" outlineLevel="0" collapsed="false">
      <c r="A15" s="22" t="s">
        <v>72</v>
      </c>
      <c r="B15" s="23" t="n">
        <v>3</v>
      </c>
      <c r="C15" s="24" t="n">
        <f aca="false">$E$3+7*(B15-1)</f>
        <v>46331</v>
      </c>
      <c r="D15" s="24" t="n">
        <f aca="false">$E$3+7*B15</f>
        <v>46338</v>
      </c>
      <c r="E15" s="25" t="s">
        <v>19</v>
      </c>
      <c r="F15" s="26" t="s">
        <v>73</v>
      </c>
      <c r="G15" s="27" t="s">
        <v>74</v>
      </c>
      <c r="H15" s="27" t="s">
        <v>75</v>
      </c>
      <c r="I15" s="22" t="s">
        <v>76</v>
      </c>
      <c r="J15" s="28" t="s">
        <v>77</v>
      </c>
      <c r="K15" s="29" t="s">
        <v>25</v>
      </c>
      <c r="L15" s="22" t="str">
        <f aca="true">IF(K15="Selesai","",IF(TODAY()&gt;D15,"TERLAMBAT",""))</f>
        <v/>
      </c>
      <c r="M15" s="27"/>
      <c r="N15" s="27" t="s">
        <v>78</v>
      </c>
    </row>
    <row r="16" customFormat="false" ht="46.25" hidden="false" customHeight="false" outlineLevel="0" collapsed="false">
      <c r="A16" s="22" t="s">
        <v>79</v>
      </c>
      <c r="B16" s="23" t="n">
        <v>3</v>
      </c>
      <c r="C16" s="24" t="n">
        <f aca="false">$E$3+7*(B16-1)</f>
        <v>46331</v>
      </c>
      <c r="D16" s="24" t="n">
        <f aca="false">$E$3+7*B16</f>
        <v>46338</v>
      </c>
      <c r="E16" s="25" t="s">
        <v>28</v>
      </c>
      <c r="F16" s="26" t="s">
        <v>80</v>
      </c>
      <c r="G16" s="27" t="s">
        <v>81</v>
      </c>
      <c r="H16" s="27" t="s">
        <v>82</v>
      </c>
      <c r="I16" s="22" t="s">
        <v>83</v>
      </c>
      <c r="J16" s="28" t="s">
        <v>84</v>
      </c>
      <c r="K16" s="29" t="s">
        <v>25</v>
      </c>
      <c r="L16" s="22" t="str">
        <f aca="true">IF(K16="Selesai","",IF(TODAY()&gt;D16,"TERLAMBAT",""))</f>
        <v/>
      </c>
      <c r="M16" s="27"/>
      <c r="N16" s="27" t="s">
        <v>85</v>
      </c>
    </row>
    <row r="17" customFormat="false" ht="23.85" hidden="false" customHeight="false" outlineLevel="0" collapsed="false">
      <c r="A17" s="22" t="s">
        <v>86</v>
      </c>
      <c r="B17" s="23" t="n">
        <v>3</v>
      </c>
      <c r="C17" s="24" t="n">
        <f aca="false">$E$3+7*(B17-1)</f>
        <v>46331</v>
      </c>
      <c r="D17" s="24" t="n">
        <f aca="false">$E$3+7*B17</f>
        <v>46338</v>
      </c>
      <c r="E17" s="25" t="s">
        <v>34</v>
      </c>
      <c r="F17" s="26" t="s">
        <v>87</v>
      </c>
      <c r="G17" s="27" t="s">
        <v>88</v>
      </c>
      <c r="H17" s="27" t="s">
        <v>89</v>
      </c>
      <c r="I17" s="22" t="s">
        <v>90</v>
      </c>
      <c r="J17" s="28" t="s">
        <v>91</v>
      </c>
      <c r="K17" s="29" t="s">
        <v>25</v>
      </c>
      <c r="L17" s="22" t="str">
        <f aca="true">IF(K17="Selesai","",IF(TODAY()&gt;D17,"TERLAMBAT",""))</f>
        <v/>
      </c>
      <c r="M17" s="27"/>
      <c r="N17" s="27"/>
    </row>
    <row r="18" customFormat="false" ht="35.05" hidden="false" customHeight="false" outlineLevel="0" collapsed="false">
      <c r="A18" s="22" t="s">
        <v>92</v>
      </c>
      <c r="B18" s="23" t="n">
        <v>3</v>
      </c>
      <c r="C18" s="24" t="n">
        <f aca="false">$E$3+7*(B18-1)</f>
        <v>46331</v>
      </c>
      <c r="D18" s="24" t="n">
        <f aca="false">$E$3+7*B18</f>
        <v>46338</v>
      </c>
      <c r="E18" s="25" t="s">
        <v>41</v>
      </c>
      <c r="F18" s="26" t="s">
        <v>93</v>
      </c>
      <c r="G18" s="27" t="s">
        <v>94</v>
      </c>
      <c r="H18" s="27" t="s">
        <v>95</v>
      </c>
      <c r="I18" s="22" t="s">
        <v>90</v>
      </c>
      <c r="J18" s="28" t="s">
        <v>96</v>
      </c>
      <c r="K18" s="29" t="s">
        <v>25</v>
      </c>
      <c r="L18" s="22" t="str">
        <f aca="true">IF(K18="Selesai","",IF(TODAY()&gt;D18,"TERLAMBAT",""))</f>
        <v/>
      </c>
      <c r="M18" s="27"/>
      <c r="N18" s="27" t="s">
        <v>97</v>
      </c>
    </row>
    <row r="19" customFormat="false" ht="35.05" hidden="false" customHeight="false" outlineLevel="0" collapsed="false">
      <c r="A19" s="30" t="s">
        <v>98</v>
      </c>
      <c r="B19" s="31" t="n">
        <v>4</v>
      </c>
      <c r="C19" s="32" t="n">
        <f aca="false">$E$3+7*(B19-1)</f>
        <v>46338</v>
      </c>
      <c r="D19" s="32" t="n">
        <f aca="false">$E$3+7*B19</f>
        <v>46345</v>
      </c>
      <c r="E19" s="33" t="s">
        <v>19</v>
      </c>
      <c r="F19" s="34" t="s">
        <v>99</v>
      </c>
      <c r="G19" s="35" t="s">
        <v>100</v>
      </c>
      <c r="H19" s="35" t="s">
        <v>101</v>
      </c>
      <c r="I19" s="30" t="s">
        <v>79</v>
      </c>
      <c r="J19" s="36" t="s">
        <v>102</v>
      </c>
      <c r="K19" s="37" t="s">
        <v>25</v>
      </c>
      <c r="L19" s="30" t="str">
        <f aca="true">IF(K19="Selesai","",IF(TODAY()&gt;D19,"TERLAMBAT",""))</f>
        <v/>
      </c>
      <c r="M19" s="35"/>
      <c r="N19" s="35" t="s">
        <v>103</v>
      </c>
    </row>
    <row r="20" customFormat="false" ht="35.05" hidden="false" customHeight="false" outlineLevel="0" collapsed="false">
      <c r="A20" s="30" t="s">
        <v>104</v>
      </c>
      <c r="B20" s="31" t="n">
        <v>4</v>
      </c>
      <c r="C20" s="32" t="n">
        <f aca="false">$E$3+7*(B20-1)</f>
        <v>46338</v>
      </c>
      <c r="D20" s="32" t="n">
        <f aca="false">$E$3+7*B20</f>
        <v>46345</v>
      </c>
      <c r="E20" s="33" t="s">
        <v>28</v>
      </c>
      <c r="F20" s="34" t="s">
        <v>105</v>
      </c>
      <c r="G20" s="35" t="s">
        <v>106</v>
      </c>
      <c r="H20" s="35" t="s">
        <v>107</v>
      </c>
      <c r="I20" s="30" t="s">
        <v>79</v>
      </c>
      <c r="J20" s="36" t="s">
        <v>108</v>
      </c>
      <c r="K20" s="37" t="s">
        <v>25</v>
      </c>
      <c r="L20" s="30" t="str">
        <f aca="true">IF(K20="Selesai","",IF(TODAY()&gt;D20,"TERLAMBAT",""))</f>
        <v/>
      </c>
      <c r="M20" s="35"/>
      <c r="N20" s="35" t="s">
        <v>109</v>
      </c>
    </row>
    <row r="21" customFormat="false" ht="23.85" hidden="false" customHeight="false" outlineLevel="0" collapsed="false">
      <c r="A21" s="30" t="s">
        <v>110</v>
      </c>
      <c r="B21" s="31" t="n">
        <v>4</v>
      </c>
      <c r="C21" s="32" t="n">
        <f aca="false">$E$3+7*(B21-1)</f>
        <v>46338</v>
      </c>
      <c r="D21" s="32" t="n">
        <f aca="false">$E$3+7*B21</f>
        <v>46345</v>
      </c>
      <c r="E21" s="33" t="s">
        <v>34</v>
      </c>
      <c r="F21" s="34" t="s">
        <v>111</v>
      </c>
      <c r="G21" s="35" t="s">
        <v>112</v>
      </c>
      <c r="H21" s="35" t="s">
        <v>113</v>
      </c>
      <c r="I21" s="30" t="s">
        <v>114</v>
      </c>
      <c r="J21" s="36" t="s">
        <v>115</v>
      </c>
      <c r="K21" s="37" t="s">
        <v>25</v>
      </c>
      <c r="L21" s="30" t="str">
        <f aca="true">IF(K21="Selesai","",IF(TODAY()&gt;D21,"TERLAMBAT",""))</f>
        <v/>
      </c>
      <c r="M21" s="35"/>
      <c r="N21" s="35" t="s">
        <v>116</v>
      </c>
    </row>
    <row r="22" customFormat="false" ht="35.05" hidden="false" customHeight="false" outlineLevel="0" collapsed="false">
      <c r="A22" s="30" t="s">
        <v>117</v>
      </c>
      <c r="B22" s="31" t="n">
        <v>4</v>
      </c>
      <c r="C22" s="32" t="n">
        <f aca="false">$E$3+7*(B22-1)</f>
        <v>46338</v>
      </c>
      <c r="D22" s="32" t="n">
        <f aca="false">$E$3+7*B22</f>
        <v>46345</v>
      </c>
      <c r="E22" s="33" t="s">
        <v>41</v>
      </c>
      <c r="F22" s="34" t="s">
        <v>118</v>
      </c>
      <c r="G22" s="35" t="s">
        <v>119</v>
      </c>
      <c r="H22" s="35" t="s">
        <v>120</v>
      </c>
      <c r="I22" s="30" t="s">
        <v>121</v>
      </c>
      <c r="J22" s="36" t="s">
        <v>122</v>
      </c>
      <c r="K22" s="37" t="s">
        <v>25</v>
      </c>
      <c r="L22" s="30" t="str">
        <f aca="true">IF(K22="Selesai","",IF(TODAY()&gt;D22,"TERLAMBAT",""))</f>
        <v/>
      </c>
      <c r="M22" s="35"/>
      <c r="N22" s="35" t="s">
        <v>123</v>
      </c>
    </row>
  </sheetData>
  <autoFilter ref="A6:N22"/>
  <conditionalFormatting sqref="K7:K22">
    <cfRule type="cellIs" priority="2" operator="equal" aboveAverage="0" equalAverage="0" bottom="0" percent="0" rank="0" text="" dxfId="9">
      <formula>"Selesai"</formula>
    </cfRule>
    <cfRule type="cellIs" priority="3" operator="equal" aboveAverage="0" equalAverage="0" bottom="0" percent="0" rank="0" text="" dxfId="10">
      <formula>"Review"</formula>
    </cfRule>
    <cfRule type="cellIs" priority="4" operator="equal" aboveAverage="0" equalAverage="0" bottom="0" percent="0" rank="0" text="" dxfId="11">
      <formula>"Proses"</formula>
    </cfRule>
  </conditionalFormatting>
  <conditionalFormatting sqref="L7:L22">
    <cfRule type="cellIs" priority="5" operator="equal" aboveAverage="0" equalAverage="0" bottom="0" percent="0" rank="0" text="" dxfId="12">
      <formula>"TERLAMBAT"</formula>
    </cfRule>
  </conditionalFormatting>
  <dataValidations count="1">
    <dataValidation allowBlank="false" errorStyle="stop" operator="between" showDropDown="false" showErrorMessage="false" showInputMessage="false" sqref="K7:K22" type="list">
      <formula1>"Belum,Proses,Review,Selesai"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6" min="3" style="0" width="10"/>
    <col collapsed="false" customWidth="true" hidden="false" outlineLevel="0" max="8" min="7" style="0" width="12"/>
  </cols>
  <sheetData>
    <row r="1" customFormat="false" ht="17.35" hidden="false" customHeight="false" outlineLevel="0" collapsed="false">
      <c r="A1" s="1" t="s">
        <v>124</v>
      </c>
    </row>
    <row r="3" customFormat="false" ht="15" hidden="false" customHeight="false" outlineLevel="0" collapsed="false">
      <c r="A3" s="5" t="s">
        <v>8</v>
      </c>
      <c r="B3" s="5" t="s">
        <v>125</v>
      </c>
      <c r="C3" s="5" t="s">
        <v>126</v>
      </c>
      <c r="D3" s="5" t="s">
        <v>127</v>
      </c>
      <c r="E3" s="5" t="s">
        <v>128</v>
      </c>
      <c r="F3" s="5" t="s">
        <v>25</v>
      </c>
      <c r="G3" s="5" t="s">
        <v>129</v>
      </c>
      <c r="H3" s="5" t="s">
        <v>130</v>
      </c>
    </row>
    <row r="4" customFormat="false" ht="15" hidden="false" customHeight="false" outlineLevel="0" collapsed="false">
      <c r="A4" s="38" t="s">
        <v>19</v>
      </c>
      <c r="B4" s="39" t="n">
        <f aca="false">COUNTIF(Timeline!$E$7:$E$22,A4)</f>
        <v>4</v>
      </c>
      <c r="C4" s="39" t="n">
        <f aca="false">COUNTIFS(Timeline!$E$7:$E$22,$A4,Timeline!$K$7:$K$22,"Selesai")</f>
        <v>0</v>
      </c>
      <c r="D4" s="39" t="n">
        <f aca="false">COUNTIFS(Timeline!$E$7:$E$22,$A4,Timeline!$K$7:$K$22,"Review")</f>
        <v>0</v>
      </c>
      <c r="E4" s="39" t="n">
        <f aca="false">COUNTIFS(Timeline!$E$7:$E$22,$A4,Timeline!$K$7:$K$22,"Proses")</f>
        <v>0</v>
      </c>
      <c r="F4" s="39" t="n">
        <f aca="false">COUNTIFS(Timeline!$E$7:$E$22,$A4,Timeline!$K$7:$K$22,"Belum")</f>
        <v>4</v>
      </c>
      <c r="G4" s="40" t="n">
        <f aca="false">IF(B4=0,0,C4/B4)</f>
        <v>0</v>
      </c>
      <c r="H4" s="39" t="n">
        <f aca="false">COUNTIFS(Timeline!$E$7:$E$22,$A4,Timeline!$L$7:$L$22,"TERLAMBAT")</f>
        <v>0</v>
      </c>
    </row>
    <row r="5" customFormat="false" ht="15" hidden="false" customHeight="false" outlineLevel="0" collapsed="false">
      <c r="A5" s="38" t="s">
        <v>28</v>
      </c>
      <c r="B5" s="39" t="n">
        <f aca="false">COUNTIF(Timeline!$E$7:$E$22,A5)</f>
        <v>4</v>
      </c>
      <c r="C5" s="39" t="n">
        <f aca="false">COUNTIFS(Timeline!$E$7:$E$22,$A5,Timeline!$K$7:$K$22,"Selesai")</f>
        <v>0</v>
      </c>
      <c r="D5" s="39" t="n">
        <f aca="false">COUNTIFS(Timeline!$E$7:$E$22,$A5,Timeline!$K$7:$K$22,"Review")</f>
        <v>0</v>
      </c>
      <c r="E5" s="39" t="n">
        <f aca="false">COUNTIFS(Timeline!$E$7:$E$22,$A5,Timeline!$K$7:$K$22,"Proses")</f>
        <v>0</v>
      </c>
      <c r="F5" s="39" t="n">
        <f aca="false">COUNTIFS(Timeline!$E$7:$E$22,$A5,Timeline!$K$7:$K$22,"Belum")</f>
        <v>4</v>
      </c>
      <c r="G5" s="40" t="n">
        <f aca="false">IF(B5=0,0,C5/B5)</f>
        <v>0</v>
      </c>
      <c r="H5" s="39" t="n">
        <f aca="false">COUNTIFS(Timeline!$E$7:$E$22,$A5,Timeline!$L$7:$L$22,"TERLAMBAT")</f>
        <v>0</v>
      </c>
    </row>
    <row r="6" customFormat="false" ht="15" hidden="false" customHeight="false" outlineLevel="0" collapsed="false">
      <c r="A6" s="38" t="s">
        <v>34</v>
      </c>
      <c r="B6" s="39" t="n">
        <f aca="false">COUNTIF(Timeline!$E$7:$E$22,A6)</f>
        <v>4</v>
      </c>
      <c r="C6" s="39" t="n">
        <f aca="false">COUNTIFS(Timeline!$E$7:$E$22,$A6,Timeline!$K$7:$K$22,"Selesai")</f>
        <v>0</v>
      </c>
      <c r="D6" s="39" t="n">
        <f aca="false">COUNTIFS(Timeline!$E$7:$E$22,$A6,Timeline!$K$7:$K$22,"Review")</f>
        <v>0</v>
      </c>
      <c r="E6" s="39" t="n">
        <f aca="false">COUNTIFS(Timeline!$E$7:$E$22,$A6,Timeline!$K$7:$K$22,"Proses")</f>
        <v>0</v>
      </c>
      <c r="F6" s="39" t="n">
        <f aca="false">COUNTIFS(Timeline!$E$7:$E$22,$A6,Timeline!$K$7:$K$22,"Belum")</f>
        <v>4</v>
      </c>
      <c r="G6" s="40" t="n">
        <f aca="false">IF(B6=0,0,C6/B6)</f>
        <v>0</v>
      </c>
      <c r="H6" s="39" t="n">
        <f aca="false">COUNTIFS(Timeline!$E$7:$E$22,$A6,Timeline!$L$7:$L$22,"TERLAMBAT")</f>
        <v>0</v>
      </c>
    </row>
    <row r="7" customFormat="false" ht="15" hidden="false" customHeight="false" outlineLevel="0" collapsed="false">
      <c r="A7" s="38" t="s">
        <v>41</v>
      </c>
      <c r="B7" s="39" t="n">
        <f aca="false">COUNTIF(Timeline!$E$7:$E$22,A7)</f>
        <v>4</v>
      </c>
      <c r="C7" s="39" t="n">
        <f aca="false">COUNTIFS(Timeline!$E$7:$E$22,$A7,Timeline!$K$7:$K$22,"Selesai")</f>
        <v>0</v>
      </c>
      <c r="D7" s="39" t="n">
        <f aca="false">COUNTIFS(Timeline!$E$7:$E$22,$A7,Timeline!$K$7:$K$22,"Review")</f>
        <v>0</v>
      </c>
      <c r="E7" s="39" t="n">
        <f aca="false">COUNTIFS(Timeline!$E$7:$E$22,$A7,Timeline!$K$7:$K$22,"Proses")</f>
        <v>0</v>
      </c>
      <c r="F7" s="39" t="n">
        <f aca="false">COUNTIFS(Timeline!$E$7:$E$22,$A7,Timeline!$K$7:$K$22,"Belum")</f>
        <v>4</v>
      </c>
      <c r="G7" s="40" t="n">
        <f aca="false">IF(B7=0,0,C7/B7)</f>
        <v>0</v>
      </c>
      <c r="H7" s="39" t="n">
        <f aca="false">COUNTIFS(Timeline!$E$7:$E$22,$A7,Timeline!$L$7:$L$22,"TERLAMBAT")</f>
        <v>0</v>
      </c>
    </row>
    <row r="8" customFormat="false" ht="15" hidden="false" customHeight="false" outlineLevel="0" collapsed="false">
      <c r="A8" s="38" t="s">
        <v>131</v>
      </c>
      <c r="B8" s="38" t="n">
        <f aca="false">SUM(B4:B7)</f>
        <v>16</v>
      </c>
      <c r="C8" s="38" t="n">
        <f aca="false">SUM(C4:C7)</f>
        <v>0</v>
      </c>
      <c r="D8" s="38" t="n">
        <f aca="false">SUM(D4:D7)</f>
        <v>0</v>
      </c>
      <c r="E8" s="38" t="n">
        <f aca="false">SUM(E4:E7)</f>
        <v>0</v>
      </c>
      <c r="F8" s="38" t="n">
        <f aca="false">SUM(F4:F7)</f>
        <v>16</v>
      </c>
      <c r="G8" s="41" t="n">
        <f aca="false">IF(B8=0,0,C8/B8)</f>
        <v>0</v>
      </c>
      <c r="H8" s="38" t="n">
        <f aca="false">SUM(H4:H7)</f>
        <v>0</v>
      </c>
    </row>
    <row r="11" customFormat="false" ht="15" hidden="false" customHeight="false" outlineLevel="0" collapsed="false">
      <c r="A11" s="5" t="s">
        <v>5</v>
      </c>
      <c r="B11" s="5" t="s">
        <v>125</v>
      </c>
      <c r="C11" s="5" t="s">
        <v>126</v>
      </c>
      <c r="D11" s="5" t="s">
        <v>127</v>
      </c>
      <c r="E11" s="5" t="s">
        <v>128</v>
      </c>
      <c r="F11" s="5" t="s">
        <v>25</v>
      </c>
      <c r="G11" s="5" t="s">
        <v>129</v>
      </c>
      <c r="H11" s="5" t="s">
        <v>130</v>
      </c>
    </row>
    <row r="12" customFormat="false" ht="15" hidden="false" customHeight="false" outlineLevel="0" collapsed="false">
      <c r="A12" s="42" t="n">
        <v>1</v>
      </c>
      <c r="B12" s="39" t="n">
        <f aca="false">COUNTIF(Timeline!$B$7:$B$22,A12)</f>
        <v>4</v>
      </c>
      <c r="C12" s="39" t="n">
        <f aca="false">COUNTIFS(Timeline!$B$7:$B$22,$A12,Timeline!$K$7:$K$22,"Selesai")</f>
        <v>0</v>
      </c>
      <c r="D12" s="39" t="n">
        <f aca="false">COUNTIFS(Timeline!$B$7:$B$22,$A12,Timeline!$K$7:$K$22,"Review")</f>
        <v>0</v>
      </c>
      <c r="E12" s="39" t="n">
        <f aca="false">COUNTIFS(Timeline!$B$7:$B$22,$A12,Timeline!$K$7:$K$22,"Proses")</f>
        <v>0</v>
      </c>
      <c r="F12" s="39" t="n">
        <f aca="false">COUNTIFS(Timeline!$B$7:$B$22,$A12,Timeline!$K$7:$K$22,"Belum")</f>
        <v>4</v>
      </c>
      <c r="G12" s="40" t="n">
        <f aca="false">IF(B12=0,0,C12/B12)</f>
        <v>0</v>
      </c>
      <c r="H12" s="39" t="n">
        <f aca="false">COUNTIFS(Timeline!$B$7:$B$22,$A12,Timeline!$L$7:$L$22,"TERLAMBAT")</f>
        <v>0</v>
      </c>
    </row>
    <row r="13" customFormat="false" ht="15" hidden="false" customHeight="false" outlineLevel="0" collapsed="false">
      <c r="A13" s="42" t="n">
        <v>2</v>
      </c>
      <c r="B13" s="39" t="n">
        <f aca="false">COUNTIF(Timeline!$B$7:$B$22,A13)</f>
        <v>4</v>
      </c>
      <c r="C13" s="39" t="n">
        <f aca="false">COUNTIFS(Timeline!$B$7:$B$22,$A13,Timeline!$K$7:$K$22,"Selesai")</f>
        <v>0</v>
      </c>
      <c r="D13" s="39" t="n">
        <f aca="false">COUNTIFS(Timeline!$B$7:$B$22,$A13,Timeline!$K$7:$K$22,"Review")</f>
        <v>0</v>
      </c>
      <c r="E13" s="39" t="n">
        <f aca="false">COUNTIFS(Timeline!$B$7:$B$22,$A13,Timeline!$K$7:$K$22,"Proses")</f>
        <v>0</v>
      </c>
      <c r="F13" s="39" t="n">
        <f aca="false">COUNTIFS(Timeline!$B$7:$B$22,$A13,Timeline!$K$7:$K$22,"Belum")</f>
        <v>4</v>
      </c>
      <c r="G13" s="40" t="n">
        <f aca="false">IF(B13=0,0,C13/B13)</f>
        <v>0</v>
      </c>
      <c r="H13" s="39" t="n">
        <f aca="false">COUNTIFS(Timeline!$B$7:$B$22,$A13,Timeline!$L$7:$L$22,"TERLAMBAT")</f>
        <v>0</v>
      </c>
    </row>
    <row r="14" customFormat="false" ht="15" hidden="false" customHeight="false" outlineLevel="0" collapsed="false">
      <c r="A14" s="42" t="n">
        <v>3</v>
      </c>
      <c r="B14" s="39" t="n">
        <f aca="false">COUNTIF(Timeline!$B$7:$B$22,A14)</f>
        <v>4</v>
      </c>
      <c r="C14" s="39" t="n">
        <f aca="false">COUNTIFS(Timeline!$B$7:$B$22,$A14,Timeline!$K$7:$K$22,"Selesai")</f>
        <v>0</v>
      </c>
      <c r="D14" s="39" t="n">
        <f aca="false">COUNTIFS(Timeline!$B$7:$B$22,$A14,Timeline!$K$7:$K$22,"Review")</f>
        <v>0</v>
      </c>
      <c r="E14" s="39" t="n">
        <f aca="false">COUNTIFS(Timeline!$B$7:$B$22,$A14,Timeline!$K$7:$K$22,"Proses")</f>
        <v>0</v>
      </c>
      <c r="F14" s="39" t="n">
        <f aca="false">COUNTIFS(Timeline!$B$7:$B$22,$A14,Timeline!$K$7:$K$22,"Belum")</f>
        <v>4</v>
      </c>
      <c r="G14" s="40" t="n">
        <f aca="false">IF(B14=0,0,C14/B14)</f>
        <v>0</v>
      </c>
      <c r="H14" s="39" t="n">
        <f aca="false">COUNTIFS(Timeline!$B$7:$B$22,$A14,Timeline!$L$7:$L$22,"TERLAMBAT")</f>
        <v>0</v>
      </c>
    </row>
    <row r="15" customFormat="false" ht="15" hidden="false" customHeight="false" outlineLevel="0" collapsed="false">
      <c r="A15" s="42" t="n">
        <v>4</v>
      </c>
      <c r="B15" s="39" t="n">
        <f aca="false">COUNTIF(Timeline!$B$7:$B$22,A15)</f>
        <v>4</v>
      </c>
      <c r="C15" s="39" t="n">
        <f aca="false">COUNTIFS(Timeline!$B$7:$B$22,$A15,Timeline!$K$7:$K$22,"Selesai")</f>
        <v>0</v>
      </c>
      <c r="D15" s="39" t="n">
        <f aca="false">COUNTIFS(Timeline!$B$7:$B$22,$A15,Timeline!$K$7:$K$22,"Review")</f>
        <v>0</v>
      </c>
      <c r="E15" s="39" t="n">
        <f aca="false">COUNTIFS(Timeline!$B$7:$B$22,$A15,Timeline!$K$7:$K$22,"Proses")</f>
        <v>0</v>
      </c>
      <c r="F15" s="39" t="n">
        <f aca="false">COUNTIFS(Timeline!$B$7:$B$22,$A15,Timeline!$K$7:$K$22,"Belum")</f>
        <v>4</v>
      </c>
      <c r="G15" s="40" t="n">
        <f aca="false">IF(B15=0,0,C15/B15)</f>
        <v>0</v>
      </c>
      <c r="H15" s="39" t="n">
        <f aca="false">COUNTIFS(Timeline!$B$7:$B$22,$A15,Timeline!$L$7:$L$22,"TERLAMBAT")</f>
        <v>0</v>
      </c>
    </row>
    <row r="18" customFormat="false" ht="15" hidden="false" customHeight="false" outlineLevel="0" collapsed="false">
      <c r="A18" s="4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4" min="3" style="0" width="16"/>
    <col collapsed="false" customWidth="true" hidden="false" outlineLevel="0" max="5" min="5" style="0" width="52"/>
    <col collapsed="false" customWidth="true" hidden="false" outlineLevel="0" max="6" min="6" style="0" width="40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133</v>
      </c>
    </row>
    <row r="3" customFormat="false" ht="23.85" hidden="false" customHeight="false" outlineLevel="0" collapsed="false">
      <c r="A3" s="5" t="s">
        <v>4</v>
      </c>
      <c r="B3" s="5" t="s">
        <v>134</v>
      </c>
      <c r="C3" s="5" t="s">
        <v>135</v>
      </c>
      <c r="D3" s="5" t="s">
        <v>136</v>
      </c>
      <c r="E3" s="5" t="s">
        <v>137</v>
      </c>
      <c r="F3" s="5" t="s">
        <v>138</v>
      </c>
      <c r="G3" s="5" t="s">
        <v>14</v>
      </c>
    </row>
    <row r="4" customFormat="false" ht="23.85" hidden="false" customHeight="false" outlineLevel="0" collapsed="false">
      <c r="A4" s="43" t="n">
        <v>1</v>
      </c>
      <c r="B4" s="44" t="s">
        <v>139</v>
      </c>
      <c r="C4" s="43" t="s">
        <v>66</v>
      </c>
      <c r="D4" s="43" t="s">
        <v>140</v>
      </c>
      <c r="E4" s="44" t="s">
        <v>141</v>
      </c>
      <c r="F4" s="45"/>
      <c r="G4" s="43" t="s">
        <v>25</v>
      </c>
    </row>
    <row r="5" customFormat="false" ht="35.05" hidden="false" customHeight="false" outlineLevel="0" collapsed="false">
      <c r="A5" s="43" t="n">
        <v>2</v>
      </c>
      <c r="B5" s="44" t="s">
        <v>142</v>
      </c>
      <c r="C5" s="43" t="s">
        <v>143</v>
      </c>
      <c r="D5" s="43" t="s">
        <v>144</v>
      </c>
      <c r="E5" s="44" t="s">
        <v>145</v>
      </c>
      <c r="F5" s="45"/>
      <c r="G5" s="43" t="s">
        <v>25</v>
      </c>
    </row>
    <row r="6" customFormat="false" ht="35.05" hidden="false" customHeight="false" outlineLevel="0" collapsed="false">
      <c r="A6" s="43" t="n">
        <v>3</v>
      </c>
      <c r="B6" s="44" t="s">
        <v>146</v>
      </c>
      <c r="C6" s="43" t="s">
        <v>147</v>
      </c>
      <c r="D6" s="43" t="s">
        <v>144</v>
      </c>
      <c r="E6" s="44" t="s">
        <v>148</v>
      </c>
      <c r="F6" s="45"/>
      <c r="G6" s="43" t="s">
        <v>25</v>
      </c>
    </row>
    <row r="7" customFormat="false" ht="23.85" hidden="false" customHeight="false" outlineLevel="0" collapsed="false">
      <c r="A7" s="43" t="n">
        <v>4</v>
      </c>
      <c r="B7" s="44" t="s">
        <v>149</v>
      </c>
      <c r="C7" s="43" t="s">
        <v>40</v>
      </c>
      <c r="D7" s="43" t="s">
        <v>150</v>
      </c>
      <c r="E7" s="44" t="s">
        <v>151</v>
      </c>
      <c r="F7" s="45"/>
      <c r="G7" s="43" t="s">
        <v>25</v>
      </c>
    </row>
    <row r="8" customFormat="false" ht="23.85" hidden="false" customHeight="false" outlineLevel="0" collapsed="false">
      <c r="A8" s="43" t="n">
        <v>5</v>
      </c>
      <c r="B8" s="44" t="s">
        <v>152</v>
      </c>
      <c r="C8" s="43" t="s">
        <v>40</v>
      </c>
      <c r="D8" s="43" t="s">
        <v>150</v>
      </c>
      <c r="E8" s="44" t="s">
        <v>153</v>
      </c>
      <c r="F8" s="45"/>
      <c r="G8" s="43" t="s">
        <v>25</v>
      </c>
    </row>
    <row r="9" customFormat="false" ht="23.85" hidden="false" customHeight="false" outlineLevel="0" collapsed="false">
      <c r="A9" s="43" t="n">
        <v>6</v>
      </c>
      <c r="B9" s="44" t="s">
        <v>154</v>
      </c>
      <c r="C9" s="43" t="s">
        <v>104</v>
      </c>
      <c r="D9" s="43" t="s">
        <v>155</v>
      </c>
      <c r="E9" s="44" t="s">
        <v>156</v>
      </c>
      <c r="F9" s="45"/>
      <c r="G9" s="43" t="s">
        <v>25</v>
      </c>
    </row>
    <row r="10" customFormat="false" ht="23.85" hidden="false" customHeight="false" outlineLevel="0" collapsed="false">
      <c r="A10" s="43" t="n">
        <v>7</v>
      </c>
      <c r="B10" s="44" t="s">
        <v>157</v>
      </c>
      <c r="C10" s="43" t="s">
        <v>158</v>
      </c>
      <c r="D10" s="43" t="s">
        <v>159</v>
      </c>
      <c r="E10" s="44" t="s">
        <v>160</v>
      </c>
      <c r="F10" s="45"/>
      <c r="G10" s="43" t="s">
        <v>25</v>
      </c>
    </row>
    <row r="11" customFormat="false" ht="23.85" hidden="false" customHeight="false" outlineLevel="0" collapsed="false">
      <c r="A11" s="43" t="n">
        <v>8</v>
      </c>
      <c r="B11" s="44" t="s">
        <v>161</v>
      </c>
      <c r="C11" s="43" t="s">
        <v>158</v>
      </c>
      <c r="D11" s="43" t="s">
        <v>162</v>
      </c>
      <c r="E11" s="44" t="s">
        <v>163</v>
      </c>
      <c r="F11" s="45"/>
      <c r="G11" s="43" t="s">
        <v>25</v>
      </c>
    </row>
  </sheetData>
  <dataValidations count="1">
    <dataValidation allowBlank="false" errorStyle="stop" operator="between" showDropDown="false" showErrorMessage="false" showInputMessage="false" sqref="G4:G11" type="list">
      <formula1>"Belum,Sudah"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164</v>
      </c>
    </row>
    <row r="3" customFormat="false" ht="15" hidden="false" customHeight="false" outlineLevel="0" collapsed="false">
      <c r="A3" s="5" t="s">
        <v>165</v>
      </c>
      <c r="B3" s="5" t="s">
        <v>166</v>
      </c>
    </row>
    <row r="4" customFormat="false" ht="23.85" hidden="false" customHeight="false" outlineLevel="0" collapsed="false">
      <c r="A4" s="46" t="s">
        <v>167</v>
      </c>
      <c r="B4" s="44" t="s">
        <v>168</v>
      </c>
    </row>
    <row r="5" customFormat="false" ht="15" hidden="false" customHeight="false" outlineLevel="0" collapsed="false">
      <c r="A5" s="46" t="s">
        <v>169</v>
      </c>
      <c r="B5" s="44" t="s">
        <v>170</v>
      </c>
    </row>
    <row r="6" customFormat="false" ht="23.85" hidden="false" customHeight="false" outlineLevel="0" collapsed="false">
      <c r="A6" s="46" t="s">
        <v>171</v>
      </c>
      <c r="B6" s="44" t="s">
        <v>172</v>
      </c>
    </row>
    <row r="7" customFormat="false" ht="15" hidden="false" customHeight="false" outlineLevel="0" collapsed="false">
      <c r="A7" s="46" t="s">
        <v>173</v>
      </c>
      <c r="B7" s="44" t="s">
        <v>174</v>
      </c>
    </row>
    <row r="8" customFormat="false" ht="23.85" hidden="false" customHeight="false" outlineLevel="0" collapsed="false">
      <c r="A8" s="46" t="s">
        <v>126</v>
      </c>
      <c r="B8" s="44" t="s">
        <v>175</v>
      </c>
    </row>
    <row r="9" customFormat="false" ht="23.85" hidden="false" customHeight="false" outlineLevel="0" collapsed="false">
      <c r="A9" s="46" t="s">
        <v>176</v>
      </c>
      <c r="B9" s="44" t="s">
        <v>177</v>
      </c>
    </row>
    <row r="10" customFormat="false" ht="23.85" hidden="false" customHeight="false" outlineLevel="0" collapsed="false">
      <c r="A10" s="46" t="s">
        <v>178</v>
      </c>
      <c r="B10" s="44" t="s">
        <v>179</v>
      </c>
    </row>
    <row r="11" customFormat="false" ht="15" hidden="false" customHeight="false" outlineLevel="0" collapsed="false">
      <c r="A11" s="46" t="s">
        <v>180</v>
      </c>
      <c r="B11" s="44" t="s">
        <v>181</v>
      </c>
    </row>
    <row r="12" customFormat="false" ht="23.85" hidden="false" customHeight="false" outlineLevel="0" collapsed="false">
      <c r="A12" s="46" t="s">
        <v>182</v>
      </c>
      <c r="B12" s="44" t="s">
        <v>183</v>
      </c>
    </row>
    <row r="13" customFormat="false" ht="15" hidden="false" customHeight="false" outlineLevel="0" collapsed="false">
      <c r="A13" s="46" t="s">
        <v>134</v>
      </c>
      <c r="B13" s="44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2026-10-21T10:38:03Z</dcterms:created>
  <dc:creator>openpyxl</dc:creator>
  <dc:description/>
  <dc:language>en-US</dc:language>
  <cp:lastModifiedBy/>
  <dcterms:modified xsi:type="dcterms:W3CDTF">2026-10-21T10:38:03Z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